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Akademik\SKRIPSI\SKRIPSI\Dataset\"/>
    </mc:Choice>
  </mc:AlternateContent>
  <xr:revisionPtr revIDLastSave="0" documentId="13_ncr:1_{22F8349C-FD3A-4063-9569-7AF59FE563AE}" xr6:coauthVersionLast="47" xr6:coauthVersionMax="47" xr10:uidLastSave="{00000000-0000-0000-0000-000000000000}"/>
  <bookViews>
    <workbookView xWindow="-110" yWindow="-110" windowWidth="19420" windowHeight="10300" xr2:uid="{F6870E37-ED03-46B3-9DBE-4F47EBE42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</calcChain>
</file>

<file path=xl/sharedStrings.xml><?xml version="1.0" encoding="utf-8"?>
<sst xmlns="http://schemas.openxmlformats.org/spreadsheetml/2006/main" count="102" uniqueCount="102">
  <si>
    <t>Januari 2015</t>
  </si>
  <si>
    <t>Februari 2015</t>
  </si>
  <si>
    <t>Maret 2015</t>
  </si>
  <si>
    <t>April 2015</t>
  </si>
  <si>
    <t>Mei 2015</t>
  </si>
  <si>
    <t>Juni 2015</t>
  </si>
  <si>
    <t>Juli 2015</t>
  </si>
  <si>
    <t>Agustus 2015</t>
  </si>
  <si>
    <t>September 2015</t>
  </si>
  <si>
    <t>Oktober 2015</t>
  </si>
  <si>
    <t>Desember 2015</t>
  </si>
  <si>
    <t>November 2015</t>
  </si>
  <si>
    <t>Januari 2016</t>
  </si>
  <si>
    <t>Februari 2016</t>
  </si>
  <si>
    <t>Maret 2016</t>
  </si>
  <si>
    <t>April 2016</t>
  </si>
  <si>
    <t>Mei 2016</t>
  </si>
  <si>
    <t>Juni 2016</t>
  </si>
  <si>
    <t>Juli 2016</t>
  </si>
  <si>
    <t>Agustus 2016</t>
  </si>
  <si>
    <t>September 2016</t>
  </si>
  <si>
    <t>Oktober 2016</t>
  </si>
  <si>
    <t>November 2016</t>
  </si>
  <si>
    <t>Desember 2016</t>
  </si>
  <si>
    <t>Januari 2017</t>
  </si>
  <si>
    <t>Februari 2017</t>
  </si>
  <si>
    <t>Maret 2017</t>
  </si>
  <si>
    <t>April 2017</t>
  </si>
  <si>
    <t>Mei 2017</t>
  </si>
  <si>
    <t>Juni 2017</t>
  </si>
  <si>
    <t>Juli 2017</t>
  </si>
  <si>
    <t>Agustus 2017</t>
  </si>
  <si>
    <t>September 2017</t>
  </si>
  <si>
    <t>Oktober 2017</t>
  </si>
  <si>
    <t>November 2017</t>
  </si>
  <si>
    <t>Desember 2017</t>
  </si>
  <si>
    <t>Januari 2018</t>
  </si>
  <si>
    <t>Februari 2018</t>
  </si>
  <si>
    <t>Maret 2018</t>
  </si>
  <si>
    <t>April 2018</t>
  </si>
  <si>
    <t>Mei 2018</t>
  </si>
  <si>
    <t>Juni 2018</t>
  </si>
  <si>
    <t>Juli 2018</t>
  </si>
  <si>
    <t>Agustus 2018</t>
  </si>
  <si>
    <t>September 2018</t>
  </si>
  <si>
    <t>Oktober 2018</t>
  </si>
  <si>
    <t>November 2018</t>
  </si>
  <si>
    <t>Desember 2018</t>
  </si>
  <si>
    <t>Januari 2019</t>
  </si>
  <si>
    <t>Februari 2019</t>
  </si>
  <si>
    <t>Maret 2019</t>
  </si>
  <si>
    <t>April 2019</t>
  </si>
  <si>
    <t>Mei 2019</t>
  </si>
  <si>
    <t>Juni 2019</t>
  </si>
  <si>
    <t>Juli 2019</t>
  </si>
  <si>
    <t>Agustus 2019</t>
  </si>
  <si>
    <t>September 2019</t>
  </si>
  <si>
    <t>Oktober 2019</t>
  </si>
  <si>
    <t>November 2019</t>
  </si>
  <si>
    <t>Desember 2019</t>
  </si>
  <si>
    <t>Januari 2020</t>
  </si>
  <si>
    <t>Februari 2020</t>
  </si>
  <si>
    <t>Maret 2020</t>
  </si>
  <si>
    <t>April 2020</t>
  </si>
  <si>
    <t>Mei 2020</t>
  </si>
  <si>
    <t>Juni 2020</t>
  </si>
  <si>
    <t>Juli 2020</t>
  </si>
  <si>
    <t>Agustus 2020</t>
  </si>
  <si>
    <t>September 2020</t>
  </si>
  <si>
    <t>Oktober 2020</t>
  </si>
  <si>
    <t>November 2020</t>
  </si>
  <si>
    <t>Desember 2020</t>
  </si>
  <si>
    <t>Januari 2021</t>
  </si>
  <si>
    <t>Februari 2021</t>
  </si>
  <si>
    <t>Maret 2021</t>
  </si>
  <si>
    <t>April 2021</t>
  </si>
  <si>
    <t>Mei 2021</t>
  </si>
  <si>
    <t>Juni 2021</t>
  </si>
  <si>
    <t>Juli 2021</t>
  </si>
  <si>
    <t>Agustus 2021</t>
  </si>
  <si>
    <t>September 2021</t>
  </si>
  <si>
    <t>Oktober 2021</t>
  </si>
  <si>
    <t>November 2021</t>
  </si>
  <si>
    <t>Desember 2021</t>
  </si>
  <si>
    <t>Januari 2014</t>
  </si>
  <si>
    <t>Februari 2014</t>
  </si>
  <si>
    <t>Maret 2014</t>
  </si>
  <si>
    <t>April 2014</t>
  </si>
  <si>
    <t>Mei 2014</t>
  </si>
  <si>
    <t>Juni 2014</t>
  </si>
  <si>
    <t>Juli 2014</t>
  </si>
  <si>
    <t>Agustus 2014</t>
  </si>
  <si>
    <t>September 2014</t>
  </si>
  <si>
    <t>Oktober 2014</t>
  </si>
  <si>
    <t>November 2014</t>
  </si>
  <si>
    <t>Desember 2014</t>
  </si>
  <si>
    <t>November 2013</t>
  </si>
  <si>
    <t>Desember 2013</t>
  </si>
  <si>
    <t>periode</t>
  </si>
  <si>
    <t>bulan</t>
  </si>
  <si>
    <t>beresiko</t>
  </si>
  <si>
    <t>tidak beresiko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</si>
</sst>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/>
    <xf numFmtId="0" fontId="3" fillId="2" borderId="1" xfId="2" applyFont="1" applyFill="1" applyBorder="1"/>
    <xf numFmtId="0" fontId="3" fillId="0" borderId="0" xfId="2" applyFont="1"/>
    <xf numFmtId="0" fontId="3" fillId="0" borderId="0" xfId="0" applyFont="1" applyAlignment="1">
      <alignment horizontal="right" vertical="center"/>
    </xf>
    <xf numFmtId="0" fontId="3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 vertical="center"/>
    </xf>
    <xf numFmtId="14" fontId="0" fillId="0" borderId="0" xfId="0" applyNumberFormat="1"/>
    <xf numFmtId="14" fontId="3" fillId="0" borderId="0" xfId="0" applyNumberFormat="1" applyFont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Normal" xfId="0" builtinId="0"/>
    <cellStyle name="Normal 2" xfId="1" xr:uid="{B2899BE5-EB15-426E-AFA8-29E9D2C98B3D}"/>
    <cellStyle name="Normal 2 2" xfId="2" xr:uid="{6E903E41-7E00-416C-88C6-08AEFFEAC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AD02-450E-4974-BFA8-53FF3A576B33}">
  <dimension ref="A1:M99"/>
  <sheetViews>
    <sheetView tabSelected="1" zoomScale="70" zoomScaleNormal="70" workbookViewId="0">
      <selection activeCell="F22" sqref="F22"/>
    </sheetView>
  </sheetViews>
  <sheetFormatPr defaultRowHeight="15.5"/>
  <cols>
    <col min="1" max="1" width="7.90625" style="2" bestFit="1" customWidth="1"/>
    <col min="2" max="2" width="16.08984375" style="2" bestFit="1" customWidth="1"/>
    <col min="3" max="3" width="9.26953125" style="1" bestFit="1" customWidth="1"/>
    <col min="4" max="4" width="13.7265625" style="1" bestFit="1" customWidth="1"/>
    <col min="5" max="5" width="8.7265625" style="1"/>
    <col min="6" max="6" width="9.81640625" style="1" bestFit="1" customWidth="1"/>
    <col min="7" max="7" width="30" style="1" customWidth="1"/>
    <col min="8" max="8" width="8.7265625" style="1"/>
    <col min="9" max="9" width="11.26953125" style="1" bestFit="1" customWidth="1"/>
    <col min="10" max="10" width="9.90625" style="1" bestFit="1" customWidth="1"/>
    <col min="11" max="11" width="6.08984375" style="1" bestFit="1" customWidth="1"/>
    <col min="12" max="12" width="8" style="1" bestFit="1" customWidth="1"/>
    <col min="13" max="13" width="11.36328125" style="1" bestFit="1" customWidth="1"/>
    <col min="14" max="16384" width="8.7265625" style="1"/>
  </cols>
  <sheetData>
    <row r="1" spans="1:13">
      <c r="A1" s="2" t="s">
        <v>98</v>
      </c>
      <c r="B1" s="2" t="s">
        <v>99</v>
      </c>
      <c r="C1" s="2" t="s">
        <v>100</v>
      </c>
      <c r="D1" s="2" t="s">
        <v>101</v>
      </c>
      <c r="J1" s="2"/>
      <c r="K1" s="2"/>
      <c r="L1" s="2"/>
      <c r="M1" s="2"/>
    </row>
    <row r="2" spans="1:13" ht="14.5" customHeight="1">
      <c r="A2" s="2">
        <v>1</v>
      </c>
      <c r="B2" s="14" t="s">
        <v>96</v>
      </c>
      <c r="C2" s="1">
        <v>6</v>
      </c>
      <c r="D2" s="1">
        <v>21</v>
      </c>
      <c r="F2" s="12"/>
      <c r="J2" s="3"/>
      <c r="K2" s="2"/>
      <c r="L2" s="2"/>
      <c r="M2" s="2"/>
    </row>
    <row r="3" spans="1:13" ht="14.5" customHeight="1">
      <c r="A3" s="2">
        <v>2</v>
      </c>
      <c r="B3" s="13" t="s">
        <v>97</v>
      </c>
      <c r="C3" s="1">
        <v>63</v>
      </c>
      <c r="D3" s="1">
        <v>412</v>
      </c>
      <c r="J3" s="3"/>
      <c r="K3" s="2"/>
      <c r="L3" s="2"/>
      <c r="M3" s="2"/>
    </row>
    <row r="4" spans="1:13" ht="14.5" customHeight="1">
      <c r="A4" s="2">
        <v>3</v>
      </c>
      <c r="B4" s="13" t="s">
        <v>84</v>
      </c>
      <c r="C4" s="1">
        <v>18</v>
      </c>
      <c r="D4" s="1">
        <v>162</v>
      </c>
      <c r="J4" s="3"/>
      <c r="K4" s="2"/>
      <c r="L4" s="2"/>
      <c r="M4" s="2"/>
    </row>
    <row r="5" spans="1:13" ht="14.5" customHeight="1">
      <c r="A5" s="2">
        <v>4</v>
      </c>
      <c r="B5" s="13" t="s">
        <v>85</v>
      </c>
      <c r="C5" s="1">
        <v>44</v>
      </c>
      <c r="D5" s="1">
        <v>250</v>
      </c>
      <c r="J5" s="3"/>
      <c r="K5" s="2"/>
      <c r="L5" s="2"/>
      <c r="M5" s="2"/>
    </row>
    <row r="6" spans="1:13" ht="14.5" customHeight="1">
      <c r="A6" s="2">
        <v>5</v>
      </c>
      <c r="B6" s="13" t="s">
        <v>86</v>
      </c>
      <c r="C6" s="1">
        <v>26</v>
      </c>
      <c r="D6" s="1">
        <v>218</v>
      </c>
      <c r="J6" s="3"/>
      <c r="K6" s="2"/>
      <c r="L6" s="2"/>
      <c r="M6" s="2"/>
    </row>
    <row r="7" spans="1:13" ht="14.5" customHeight="1">
      <c r="A7" s="2">
        <v>6</v>
      </c>
      <c r="B7" s="14" t="s">
        <v>87</v>
      </c>
      <c r="C7" s="1">
        <v>28</v>
      </c>
      <c r="D7" s="1">
        <v>162</v>
      </c>
      <c r="J7" s="3"/>
      <c r="K7" s="2"/>
      <c r="L7" s="2"/>
      <c r="M7" s="2"/>
    </row>
    <row r="8" spans="1:13" ht="14.5" customHeight="1">
      <c r="A8" s="2">
        <v>7</v>
      </c>
      <c r="B8" s="13" t="s">
        <v>88</v>
      </c>
      <c r="C8" s="1">
        <v>52</v>
      </c>
      <c r="D8" s="1">
        <v>155</v>
      </c>
      <c r="J8" s="3"/>
      <c r="K8" s="2"/>
      <c r="L8" s="2"/>
      <c r="M8" s="2"/>
    </row>
    <row r="9" spans="1:13" ht="14.5" customHeight="1">
      <c r="A9" s="2">
        <v>8</v>
      </c>
      <c r="B9" s="13" t="s">
        <v>89</v>
      </c>
      <c r="C9" s="1">
        <v>40</v>
      </c>
      <c r="D9" s="1">
        <v>138</v>
      </c>
      <c r="J9" s="3"/>
      <c r="K9" s="2"/>
      <c r="L9" s="2"/>
      <c r="M9" s="2"/>
    </row>
    <row r="10" spans="1:13" ht="14.5" customHeight="1">
      <c r="A10" s="2">
        <v>9</v>
      </c>
      <c r="B10" s="13" t="s">
        <v>90</v>
      </c>
      <c r="C10" s="1">
        <v>20</v>
      </c>
      <c r="D10" s="1">
        <v>105</v>
      </c>
      <c r="J10" s="3"/>
      <c r="K10" s="2"/>
      <c r="L10" s="2"/>
      <c r="M10" s="2"/>
    </row>
    <row r="11" spans="1:13" ht="14.5" customHeight="1">
      <c r="A11" s="2">
        <v>10</v>
      </c>
      <c r="B11" s="13" t="s">
        <v>91</v>
      </c>
      <c r="C11" s="1">
        <v>64</v>
      </c>
      <c r="D11" s="1">
        <v>162</v>
      </c>
      <c r="F11" s="4"/>
      <c r="J11" s="3"/>
      <c r="K11" s="2"/>
      <c r="L11" s="2"/>
      <c r="M11" s="2"/>
    </row>
    <row r="12" spans="1:13" ht="14.5" customHeight="1">
      <c r="A12" s="2">
        <v>11</v>
      </c>
      <c r="B12" s="14" t="s">
        <v>92</v>
      </c>
      <c r="C12" s="1">
        <v>84</v>
      </c>
      <c r="D12" s="1">
        <v>200</v>
      </c>
      <c r="J12" s="3"/>
      <c r="K12" s="2"/>
      <c r="L12" s="2"/>
      <c r="M12" s="2"/>
    </row>
    <row r="13" spans="1:13" ht="14.5" customHeight="1">
      <c r="A13" s="2">
        <v>12</v>
      </c>
      <c r="B13" s="13" t="s">
        <v>93</v>
      </c>
      <c r="C13" s="1">
        <v>94</v>
      </c>
      <c r="D13" s="1">
        <v>121</v>
      </c>
      <c r="J13" s="3"/>
      <c r="K13" s="2"/>
      <c r="L13" s="2"/>
      <c r="M13" s="2"/>
    </row>
    <row r="14" spans="1:13" ht="14.5" customHeight="1">
      <c r="A14" s="2">
        <v>13</v>
      </c>
      <c r="B14" s="14" t="s">
        <v>94</v>
      </c>
      <c r="C14" s="1">
        <v>77</v>
      </c>
      <c r="D14" s="1">
        <v>152</v>
      </c>
      <c r="J14" s="15"/>
      <c r="K14" s="15"/>
      <c r="L14" s="2"/>
      <c r="M14" s="2"/>
    </row>
    <row r="15" spans="1:13">
      <c r="A15" s="2">
        <v>14</v>
      </c>
      <c r="B15" s="13" t="s">
        <v>95</v>
      </c>
      <c r="C15" s="1">
        <v>35</v>
      </c>
      <c r="D15" s="1">
        <v>103</v>
      </c>
    </row>
    <row r="16" spans="1:13">
      <c r="A16" s="2">
        <v>15</v>
      </c>
      <c r="B16" s="13" t="s">
        <v>0</v>
      </c>
      <c r="C16" s="1">
        <v>40</v>
      </c>
      <c r="D16" s="1">
        <v>155</v>
      </c>
      <c r="J16" s="2"/>
      <c r="K16" s="2"/>
      <c r="L16" s="2"/>
      <c r="M16" s="2"/>
    </row>
    <row r="17" spans="1:13">
      <c r="A17" s="2">
        <v>16</v>
      </c>
      <c r="B17" s="13" t="s">
        <v>1</v>
      </c>
      <c r="C17" s="1">
        <v>117</v>
      </c>
      <c r="D17" s="1">
        <v>224</v>
      </c>
      <c r="J17" s="3"/>
      <c r="K17" s="2"/>
      <c r="L17" s="2"/>
      <c r="M17" s="2"/>
    </row>
    <row r="18" spans="1:13">
      <c r="A18" s="2">
        <v>17</v>
      </c>
      <c r="B18" s="13" t="s">
        <v>2</v>
      </c>
      <c r="C18" s="1">
        <v>131</v>
      </c>
      <c r="D18" s="1">
        <v>307</v>
      </c>
      <c r="J18" s="3"/>
      <c r="K18" s="2"/>
      <c r="L18" s="2"/>
      <c r="M18" s="2"/>
    </row>
    <row r="19" spans="1:13">
      <c r="A19" s="2">
        <v>18</v>
      </c>
      <c r="B19" s="14" t="s">
        <v>3</v>
      </c>
      <c r="C19" s="1">
        <v>150</v>
      </c>
      <c r="D19" s="1">
        <v>286</v>
      </c>
      <c r="J19" s="3"/>
      <c r="K19" s="2"/>
      <c r="L19" s="2"/>
      <c r="M19" s="2"/>
    </row>
    <row r="20" spans="1:13">
      <c r="A20" s="2">
        <v>19</v>
      </c>
      <c r="B20" s="13" t="s">
        <v>4</v>
      </c>
      <c r="C20" s="1">
        <v>143</v>
      </c>
      <c r="D20" s="1">
        <v>442</v>
      </c>
      <c r="J20" s="3"/>
      <c r="K20" s="2"/>
      <c r="L20" s="2"/>
      <c r="M20" s="2"/>
    </row>
    <row r="21" spans="1:13">
      <c r="A21" s="2">
        <v>20</v>
      </c>
      <c r="B21" s="13" t="s">
        <v>5</v>
      </c>
      <c r="C21" s="1">
        <v>96</v>
      </c>
      <c r="D21" s="1">
        <v>269</v>
      </c>
      <c r="J21" s="3"/>
      <c r="K21" s="2"/>
      <c r="L21" s="2"/>
      <c r="M21" s="2"/>
    </row>
    <row r="22" spans="1:13">
      <c r="A22" s="2">
        <v>21</v>
      </c>
      <c r="B22" s="13" t="s">
        <v>6</v>
      </c>
      <c r="C22" s="1">
        <v>120</v>
      </c>
      <c r="D22" s="1">
        <v>157</v>
      </c>
      <c r="J22" s="3"/>
      <c r="K22" s="2"/>
      <c r="L22" s="2"/>
      <c r="M22" s="2"/>
    </row>
    <row r="23" spans="1:13">
      <c r="A23" s="2">
        <v>22</v>
      </c>
      <c r="B23" s="13" t="s">
        <v>7</v>
      </c>
      <c r="C23" s="1">
        <v>131</v>
      </c>
      <c r="D23" s="1">
        <v>254</v>
      </c>
      <c r="J23" s="3"/>
      <c r="K23" s="2"/>
      <c r="L23" s="2"/>
      <c r="M23" s="2"/>
    </row>
    <row r="24" spans="1:13">
      <c r="A24" s="2">
        <v>23</v>
      </c>
      <c r="B24" s="14" t="s">
        <v>8</v>
      </c>
      <c r="C24" s="1">
        <v>151</v>
      </c>
      <c r="D24" s="1">
        <v>495</v>
      </c>
      <c r="J24" s="3"/>
      <c r="K24" s="2"/>
      <c r="L24" s="2"/>
      <c r="M24" s="2"/>
    </row>
    <row r="25" spans="1:13">
      <c r="A25" s="2">
        <v>24</v>
      </c>
      <c r="B25" s="13" t="s">
        <v>9</v>
      </c>
      <c r="C25" s="1">
        <v>109</v>
      </c>
      <c r="D25" s="1">
        <v>408</v>
      </c>
      <c r="J25" s="3"/>
      <c r="K25" s="2"/>
      <c r="L25" s="2"/>
      <c r="M25" s="2"/>
    </row>
    <row r="26" spans="1:13">
      <c r="A26" s="2">
        <v>25</v>
      </c>
      <c r="B26" s="14" t="s">
        <v>11</v>
      </c>
      <c r="C26" s="1">
        <v>44</v>
      </c>
      <c r="D26" s="1">
        <v>300</v>
      </c>
      <c r="J26" s="3"/>
      <c r="K26" s="2"/>
      <c r="L26" s="2"/>
      <c r="M26" s="2"/>
    </row>
    <row r="27" spans="1:13">
      <c r="A27" s="2">
        <v>26</v>
      </c>
      <c r="B27" s="13" t="s">
        <v>10</v>
      </c>
      <c r="C27" s="1">
        <v>52</v>
      </c>
      <c r="D27" s="1">
        <v>247</v>
      </c>
      <c r="J27" s="3"/>
      <c r="K27" s="2"/>
      <c r="L27" s="2"/>
      <c r="M27" s="2"/>
    </row>
    <row r="28" spans="1:13">
      <c r="A28" s="2">
        <v>27</v>
      </c>
      <c r="B28" s="13" t="s">
        <v>12</v>
      </c>
      <c r="C28" s="5">
        <v>135</v>
      </c>
      <c r="D28" s="6">
        <v>192</v>
      </c>
      <c r="J28" s="3"/>
      <c r="K28" s="2"/>
      <c r="L28" s="2"/>
      <c r="M28" s="2"/>
    </row>
    <row r="29" spans="1:13">
      <c r="A29" s="2">
        <v>28</v>
      </c>
      <c r="B29" s="13" t="s">
        <v>13</v>
      </c>
      <c r="C29" s="5">
        <v>186</v>
      </c>
      <c r="D29" s="6">
        <v>373</v>
      </c>
      <c r="J29" s="15"/>
      <c r="K29" s="15"/>
      <c r="L29" s="2"/>
      <c r="M29" s="2"/>
    </row>
    <row r="30" spans="1:13">
      <c r="A30" s="2">
        <v>29</v>
      </c>
      <c r="B30" s="13" t="s">
        <v>14</v>
      </c>
      <c r="C30" s="5">
        <v>85</v>
      </c>
      <c r="D30" s="6">
        <v>271</v>
      </c>
    </row>
    <row r="31" spans="1:13">
      <c r="A31" s="2">
        <v>30</v>
      </c>
      <c r="B31" s="14" t="s">
        <v>15</v>
      </c>
      <c r="C31" s="5">
        <v>157</v>
      </c>
      <c r="D31" s="6">
        <v>227</v>
      </c>
      <c r="J31" s="2"/>
      <c r="K31" s="2"/>
      <c r="L31" s="2"/>
      <c r="M31" s="2"/>
    </row>
    <row r="32" spans="1:13">
      <c r="A32" s="2">
        <v>31</v>
      </c>
      <c r="B32" s="13" t="s">
        <v>16</v>
      </c>
      <c r="C32" s="5">
        <v>126</v>
      </c>
      <c r="D32" s="6">
        <v>462</v>
      </c>
      <c r="J32" s="3"/>
      <c r="K32" s="2"/>
      <c r="L32" s="2"/>
      <c r="M32" s="2"/>
    </row>
    <row r="33" spans="1:13">
      <c r="A33" s="2">
        <v>32</v>
      </c>
      <c r="B33" s="13" t="s">
        <v>17</v>
      </c>
      <c r="C33" s="5">
        <v>184</v>
      </c>
      <c r="D33" s="6">
        <v>412</v>
      </c>
      <c r="J33" s="3"/>
      <c r="K33" s="2"/>
      <c r="L33" s="2"/>
      <c r="M33" s="2"/>
    </row>
    <row r="34" spans="1:13">
      <c r="A34" s="2">
        <v>33</v>
      </c>
      <c r="B34" s="13" t="s">
        <v>18</v>
      </c>
      <c r="C34" s="5">
        <v>152</v>
      </c>
      <c r="D34" s="6">
        <v>250</v>
      </c>
      <c r="J34" s="3"/>
      <c r="K34" s="2"/>
      <c r="L34" s="2"/>
      <c r="M34" s="2"/>
    </row>
    <row r="35" spans="1:13">
      <c r="A35" s="2">
        <v>34</v>
      </c>
      <c r="B35" s="13" t="s">
        <v>19</v>
      </c>
      <c r="C35" s="5">
        <v>270</v>
      </c>
      <c r="D35" s="6">
        <v>329</v>
      </c>
      <c r="J35" s="3"/>
      <c r="K35" s="2"/>
      <c r="L35" s="2"/>
      <c r="M35" s="2"/>
    </row>
    <row r="36" spans="1:13">
      <c r="A36" s="2">
        <v>35</v>
      </c>
      <c r="B36" s="14" t="s">
        <v>20</v>
      </c>
      <c r="C36" s="5">
        <v>191</v>
      </c>
      <c r="D36" s="6">
        <v>245</v>
      </c>
      <c r="J36" s="3"/>
      <c r="K36" s="2"/>
      <c r="L36" s="2"/>
      <c r="M36" s="2"/>
    </row>
    <row r="37" spans="1:13">
      <c r="A37" s="2">
        <v>36</v>
      </c>
      <c r="B37" s="13" t="s">
        <v>21</v>
      </c>
      <c r="C37" s="5">
        <v>178</v>
      </c>
      <c r="D37" s="6">
        <v>233</v>
      </c>
      <c r="J37" s="3"/>
      <c r="K37" s="2"/>
      <c r="L37" s="2"/>
      <c r="M37" s="2"/>
    </row>
    <row r="38" spans="1:13">
      <c r="A38" s="2">
        <v>37</v>
      </c>
      <c r="B38" s="14" t="s">
        <v>22</v>
      </c>
      <c r="C38" s="5">
        <v>150</v>
      </c>
      <c r="D38" s="6">
        <v>235</v>
      </c>
      <c r="J38" s="3"/>
      <c r="K38" s="2"/>
      <c r="L38" s="2"/>
      <c r="M38" s="2"/>
    </row>
    <row r="39" spans="1:13">
      <c r="A39" s="2">
        <v>38</v>
      </c>
      <c r="B39" s="13" t="s">
        <v>23</v>
      </c>
      <c r="C39" s="5">
        <v>101</v>
      </c>
      <c r="D39" s="6">
        <v>200</v>
      </c>
      <c r="J39" s="3"/>
      <c r="K39" s="2"/>
      <c r="L39" s="8"/>
      <c r="M39" s="8"/>
    </row>
    <row r="40" spans="1:13">
      <c r="A40" s="2">
        <v>39</v>
      </c>
      <c r="B40" s="13" t="s">
        <v>24</v>
      </c>
      <c r="C40" s="1">
        <v>110</v>
      </c>
      <c r="D40" s="6">
        <v>167</v>
      </c>
      <c r="J40" s="3"/>
      <c r="K40" s="2"/>
      <c r="L40" s="8"/>
      <c r="M40" s="8"/>
    </row>
    <row r="41" spans="1:13">
      <c r="A41" s="2">
        <v>40</v>
      </c>
      <c r="B41" s="13" t="s">
        <v>25</v>
      </c>
      <c r="C41" s="1">
        <f>59+1</f>
        <v>60</v>
      </c>
      <c r="D41" s="6">
        <v>129</v>
      </c>
      <c r="J41" s="3"/>
      <c r="K41" s="2"/>
      <c r="L41" s="8"/>
      <c r="M41" s="8"/>
    </row>
    <row r="42" spans="1:13">
      <c r="A42" s="2">
        <v>41</v>
      </c>
      <c r="B42" s="13" t="s">
        <v>26</v>
      </c>
      <c r="C42" s="1">
        <f>58</f>
        <v>58</v>
      </c>
      <c r="D42" s="6">
        <v>109</v>
      </c>
      <c r="J42" s="3"/>
      <c r="K42" s="2"/>
      <c r="L42" s="8"/>
      <c r="M42" s="8"/>
    </row>
    <row r="43" spans="1:13">
      <c r="A43" s="2">
        <v>42</v>
      </c>
      <c r="B43" s="14" t="s">
        <v>27</v>
      </c>
      <c r="C43" s="1">
        <f>64+6+2+5</f>
        <v>77</v>
      </c>
      <c r="D43" s="6">
        <v>158</v>
      </c>
      <c r="J43" s="3"/>
      <c r="K43" s="2"/>
      <c r="L43" s="8"/>
      <c r="M43" s="8"/>
    </row>
    <row r="44" spans="1:13">
      <c r="A44" s="2">
        <v>43</v>
      </c>
      <c r="B44" s="13" t="s">
        <v>28</v>
      </c>
      <c r="C44" s="1">
        <f>86+1+3</f>
        <v>90</v>
      </c>
      <c r="D44" s="6">
        <v>221</v>
      </c>
      <c r="J44" s="15"/>
      <c r="K44" s="15"/>
      <c r="L44" s="2"/>
      <c r="M44" s="2"/>
    </row>
    <row r="45" spans="1:13">
      <c r="A45" s="2">
        <v>44</v>
      </c>
      <c r="B45" s="13" t="s">
        <v>29</v>
      </c>
      <c r="C45" s="1">
        <f>104+3+1</f>
        <v>108</v>
      </c>
      <c r="D45" s="6">
        <v>133</v>
      </c>
    </row>
    <row r="46" spans="1:13">
      <c r="A46" s="2">
        <v>45</v>
      </c>
      <c r="B46" s="13" t="s">
        <v>30</v>
      </c>
      <c r="C46" s="1">
        <f>121+3</f>
        <v>124</v>
      </c>
      <c r="D46" s="6">
        <v>234</v>
      </c>
      <c r="J46" s="2"/>
      <c r="K46" s="2"/>
      <c r="L46" s="2"/>
      <c r="M46" s="2"/>
    </row>
    <row r="47" spans="1:13">
      <c r="A47" s="2">
        <v>46</v>
      </c>
      <c r="B47" s="13" t="s">
        <v>31</v>
      </c>
      <c r="C47" s="1">
        <f>121+1+2</f>
        <v>124</v>
      </c>
      <c r="D47" s="6">
        <v>144</v>
      </c>
      <c r="J47" s="3"/>
      <c r="K47" s="2"/>
      <c r="L47" s="2"/>
      <c r="M47" s="2"/>
    </row>
    <row r="48" spans="1:13">
      <c r="A48" s="2">
        <v>47</v>
      </c>
      <c r="B48" s="14" t="s">
        <v>32</v>
      </c>
      <c r="C48" s="1">
        <f>130+19</f>
        <v>149</v>
      </c>
      <c r="D48" s="6">
        <v>120</v>
      </c>
      <c r="J48" s="3"/>
      <c r="K48" s="2"/>
      <c r="L48" s="2"/>
      <c r="M48" s="2"/>
    </row>
    <row r="49" spans="1:13">
      <c r="A49" s="2">
        <v>48</v>
      </c>
      <c r="B49" s="13" t="s">
        <v>33</v>
      </c>
      <c r="C49" s="1">
        <f>162+24+5+5</f>
        <v>196</v>
      </c>
      <c r="D49" s="6">
        <v>99</v>
      </c>
      <c r="J49" s="3"/>
      <c r="K49" s="2"/>
      <c r="L49" s="2"/>
      <c r="M49" s="2"/>
    </row>
    <row r="50" spans="1:13">
      <c r="A50" s="2">
        <v>49</v>
      </c>
      <c r="B50" s="14" t="s">
        <v>34</v>
      </c>
      <c r="C50" s="1">
        <f>173+2+4+2</f>
        <v>181</v>
      </c>
      <c r="D50" s="6">
        <v>151</v>
      </c>
      <c r="J50" s="3"/>
      <c r="K50" s="2"/>
      <c r="L50" s="2"/>
      <c r="M50" s="2"/>
    </row>
    <row r="51" spans="1:13">
      <c r="A51" s="2">
        <v>50</v>
      </c>
      <c r="B51" s="13" t="s">
        <v>35</v>
      </c>
      <c r="C51" s="1">
        <f>123+3+2+2</f>
        <v>130</v>
      </c>
      <c r="D51" s="6">
        <v>131</v>
      </c>
      <c r="J51" s="3"/>
      <c r="K51" s="2"/>
      <c r="L51" s="2"/>
      <c r="M51" s="2"/>
    </row>
    <row r="52" spans="1:13">
      <c r="A52" s="2">
        <v>51</v>
      </c>
      <c r="B52" s="13" t="s">
        <v>36</v>
      </c>
      <c r="C52" s="7">
        <v>134</v>
      </c>
      <c r="D52" s="7">
        <v>151</v>
      </c>
      <c r="J52" s="3"/>
      <c r="K52" s="2"/>
      <c r="L52" s="2"/>
      <c r="M52" s="2"/>
    </row>
    <row r="53" spans="1:13">
      <c r="A53" s="2">
        <v>52</v>
      </c>
      <c r="B53" s="13" t="s">
        <v>37</v>
      </c>
      <c r="C53" s="7">
        <v>83</v>
      </c>
      <c r="D53" s="7">
        <v>130</v>
      </c>
      <c r="J53" s="3"/>
      <c r="K53" s="2"/>
      <c r="L53" s="2"/>
      <c r="M53" s="2"/>
    </row>
    <row r="54" spans="1:13">
      <c r="A54" s="2">
        <v>53</v>
      </c>
      <c r="B54" s="13" t="s">
        <v>38</v>
      </c>
      <c r="C54" s="7">
        <v>112</v>
      </c>
      <c r="D54" s="7">
        <v>131</v>
      </c>
      <c r="J54" s="3"/>
      <c r="K54" s="2"/>
      <c r="L54" s="8"/>
      <c r="M54" s="8"/>
    </row>
    <row r="55" spans="1:13">
      <c r="A55" s="2">
        <v>54</v>
      </c>
      <c r="B55" s="14" t="s">
        <v>39</v>
      </c>
      <c r="C55" s="7">
        <v>131</v>
      </c>
      <c r="D55" s="7">
        <v>110</v>
      </c>
      <c r="J55" s="3"/>
      <c r="K55" s="2"/>
      <c r="L55" s="8"/>
      <c r="M55" s="8"/>
    </row>
    <row r="56" spans="1:13">
      <c r="A56" s="2">
        <v>55</v>
      </c>
      <c r="B56" s="13" t="s">
        <v>40</v>
      </c>
      <c r="C56" s="7">
        <v>122</v>
      </c>
      <c r="D56" s="7">
        <v>241</v>
      </c>
      <c r="J56" s="3"/>
      <c r="K56" s="2"/>
      <c r="L56" s="8"/>
      <c r="M56" s="8"/>
    </row>
    <row r="57" spans="1:13">
      <c r="A57" s="2">
        <v>56</v>
      </c>
      <c r="B57" s="13" t="s">
        <v>41</v>
      </c>
      <c r="C57" s="7">
        <v>42</v>
      </c>
      <c r="D57" s="7">
        <v>144</v>
      </c>
      <c r="J57" s="3"/>
      <c r="K57" s="2"/>
      <c r="L57" s="8"/>
      <c r="M57" s="8"/>
    </row>
    <row r="58" spans="1:13">
      <c r="A58" s="2">
        <v>57</v>
      </c>
      <c r="B58" s="13" t="s">
        <v>42</v>
      </c>
      <c r="C58" s="7">
        <v>128</v>
      </c>
      <c r="D58" s="7">
        <v>436</v>
      </c>
      <c r="J58" s="3"/>
      <c r="K58" s="2"/>
      <c r="L58" s="8"/>
      <c r="M58" s="8"/>
    </row>
    <row r="59" spans="1:13">
      <c r="A59" s="2">
        <v>58</v>
      </c>
      <c r="B59" s="13" t="s">
        <v>43</v>
      </c>
      <c r="C59" s="7">
        <v>145</v>
      </c>
      <c r="D59" s="7">
        <v>426</v>
      </c>
      <c r="J59" s="15"/>
      <c r="K59" s="15"/>
      <c r="L59" s="2"/>
      <c r="M59" s="2"/>
    </row>
    <row r="60" spans="1:13">
      <c r="A60" s="2">
        <v>59</v>
      </c>
      <c r="B60" s="14" t="s">
        <v>44</v>
      </c>
      <c r="C60" s="7">
        <v>94</v>
      </c>
      <c r="D60" s="7">
        <v>303</v>
      </c>
    </row>
    <row r="61" spans="1:13">
      <c r="A61" s="2">
        <v>60</v>
      </c>
      <c r="B61" s="13" t="s">
        <v>45</v>
      </c>
      <c r="C61" s="7">
        <v>158</v>
      </c>
      <c r="D61" s="7">
        <v>345</v>
      </c>
    </row>
    <row r="62" spans="1:13">
      <c r="A62" s="2">
        <v>61</v>
      </c>
      <c r="B62" s="14" t="s">
        <v>46</v>
      </c>
      <c r="C62" s="7">
        <v>100</v>
      </c>
      <c r="D62" s="7">
        <v>239</v>
      </c>
    </row>
    <row r="63" spans="1:13">
      <c r="A63" s="2">
        <v>62</v>
      </c>
      <c r="B63" s="13" t="s">
        <v>47</v>
      </c>
      <c r="C63" s="7">
        <v>89</v>
      </c>
      <c r="D63" s="7">
        <v>278</v>
      </c>
    </row>
    <row r="64" spans="1:13">
      <c r="A64" s="2">
        <v>63</v>
      </c>
      <c r="B64" s="13" t="s">
        <v>48</v>
      </c>
      <c r="C64" s="9">
        <v>85</v>
      </c>
      <c r="D64" s="9">
        <v>326</v>
      </c>
    </row>
    <row r="65" spans="1:4">
      <c r="A65" s="2">
        <v>64</v>
      </c>
      <c r="B65" s="13" t="s">
        <v>49</v>
      </c>
      <c r="C65" s="9">
        <v>110</v>
      </c>
      <c r="D65" s="9">
        <v>271</v>
      </c>
    </row>
    <row r="66" spans="1:4">
      <c r="A66" s="2">
        <v>65</v>
      </c>
      <c r="B66" s="13" t="s">
        <v>50</v>
      </c>
      <c r="C66" s="9">
        <v>141</v>
      </c>
      <c r="D66" s="9">
        <v>303</v>
      </c>
    </row>
    <row r="67" spans="1:4">
      <c r="A67" s="2">
        <v>66</v>
      </c>
      <c r="B67" s="14" t="s">
        <v>51</v>
      </c>
      <c r="C67" s="9">
        <v>75</v>
      </c>
      <c r="D67" s="9">
        <v>262</v>
      </c>
    </row>
    <row r="68" spans="1:4">
      <c r="A68" s="2">
        <v>67</v>
      </c>
      <c r="B68" s="13" t="s">
        <v>52</v>
      </c>
      <c r="C68" s="9">
        <v>107</v>
      </c>
      <c r="D68" s="9">
        <v>281</v>
      </c>
    </row>
    <row r="69" spans="1:4">
      <c r="A69" s="2">
        <v>68</v>
      </c>
      <c r="B69" s="13" t="s">
        <v>53</v>
      </c>
      <c r="C69" s="9">
        <v>71</v>
      </c>
      <c r="D69" s="9">
        <v>271</v>
      </c>
    </row>
    <row r="70" spans="1:4">
      <c r="A70" s="2">
        <v>69</v>
      </c>
      <c r="B70" s="13" t="s">
        <v>54</v>
      </c>
      <c r="C70" s="9">
        <v>167</v>
      </c>
      <c r="D70" s="9">
        <v>487</v>
      </c>
    </row>
    <row r="71" spans="1:4">
      <c r="A71" s="2">
        <v>70</v>
      </c>
      <c r="B71" s="13" t="s">
        <v>55</v>
      </c>
      <c r="C71" s="9">
        <v>132</v>
      </c>
      <c r="D71" s="9">
        <v>291</v>
      </c>
    </row>
    <row r="72" spans="1:4">
      <c r="A72" s="2">
        <v>71</v>
      </c>
      <c r="B72" s="14" t="s">
        <v>56</v>
      </c>
      <c r="C72" s="9">
        <v>125</v>
      </c>
      <c r="D72" s="9">
        <v>179</v>
      </c>
    </row>
    <row r="73" spans="1:4">
      <c r="A73" s="2">
        <v>72</v>
      </c>
      <c r="B73" s="13" t="s">
        <v>57</v>
      </c>
      <c r="C73" s="9">
        <v>202</v>
      </c>
      <c r="D73" s="10">
        <v>285</v>
      </c>
    </row>
    <row r="74" spans="1:4">
      <c r="A74" s="2">
        <v>73</v>
      </c>
      <c r="B74" s="14" t="s">
        <v>58</v>
      </c>
      <c r="C74" s="9">
        <v>59</v>
      </c>
      <c r="D74" s="9">
        <v>95</v>
      </c>
    </row>
    <row r="75" spans="1:4">
      <c r="A75" s="2">
        <v>74</v>
      </c>
      <c r="B75" s="13" t="s">
        <v>59</v>
      </c>
      <c r="C75" s="9">
        <v>46</v>
      </c>
      <c r="D75" s="9">
        <v>114</v>
      </c>
    </row>
    <row r="76" spans="1:4">
      <c r="A76" s="2">
        <v>75</v>
      </c>
      <c r="B76" s="13" t="s">
        <v>60</v>
      </c>
      <c r="C76" s="7">
        <v>63</v>
      </c>
      <c r="D76" s="7">
        <v>429</v>
      </c>
    </row>
    <row r="77" spans="1:4">
      <c r="A77" s="2">
        <v>76</v>
      </c>
      <c r="B77" s="13" t="s">
        <v>61</v>
      </c>
      <c r="C77" s="7">
        <v>47</v>
      </c>
      <c r="D77" s="7">
        <v>399</v>
      </c>
    </row>
    <row r="78" spans="1:4">
      <c r="A78" s="2">
        <v>77</v>
      </c>
      <c r="B78" s="13" t="s">
        <v>62</v>
      </c>
      <c r="C78" s="7">
        <v>51</v>
      </c>
      <c r="D78" s="7">
        <v>330</v>
      </c>
    </row>
    <row r="79" spans="1:4">
      <c r="A79" s="2">
        <v>78</v>
      </c>
      <c r="B79" s="14" t="s">
        <v>63</v>
      </c>
      <c r="C79" s="7">
        <v>74</v>
      </c>
      <c r="D79" s="7">
        <v>189</v>
      </c>
    </row>
    <row r="80" spans="1:4">
      <c r="A80" s="2">
        <v>79</v>
      </c>
      <c r="B80" s="13" t="s">
        <v>64</v>
      </c>
      <c r="C80" s="7">
        <v>62</v>
      </c>
      <c r="D80" s="7">
        <v>217</v>
      </c>
    </row>
    <row r="81" spans="1:4">
      <c r="A81" s="2">
        <v>80</v>
      </c>
      <c r="B81" s="13" t="s">
        <v>65</v>
      </c>
      <c r="C81" s="7">
        <v>33</v>
      </c>
      <c r="D81" s="7">
        <v>271</v>
      </c>
    </row>
    <row r="82" spans="1:4">
      <c r="A82" s="2">
        <v>81</v>
      </c>
      <c r="B82" s="13" t="s">
        <v>66</v>
      </c>
      <c r="C82" s="7">
        <v>26</v>
      </c>
      <c r="D82" s="7">
        <v>160</v>
      </c>
    </row>
    <row r="83" spans="1:4">
      <c r="A83" s="2">
        <v>82</v>
      </c>
      <c r="B83" s="13" t="s">
        <v>67</v>
      </c>
      <c r="C83" s="11">
        <v>0</v>
      </c>
      <c r="D83" s="11">
        <v>0</v>
      </c>
    </row>
    <row r="84" spans="1:4">
      <c r="A84" s="2">
        <v>83</v>
      </c>
      <c r="B84" s="14" t="s">
        <v>68</v>
      </c>
      <c r="C84" s="11">
        <v>0</v>
      </c>
      <c r="D84" s="11">
        <v>0</v>
      </c>
    </row>
    <row r="85" spans="1:4">
      <c r="A85" s="2">
        <v>84</v>
      </c>
      <c r="B85" s="13" t="s">
        <v>69</v>
      </c>
      <c r="C85" s="11">
        <v>0</v>
      </c>
      <c r="D85" s="11">
        <v>0</v>
      </c>
    </row>
    <row r="86" spans="1:4">
      <c r="A86" s="2">
        <v>85</v>
      </c>
      <c r="B86" s="14" t="s">
        <v>70</v>
      </c>
      <c r="C86" s="11">
        <v>0</v>
      </c>
      <c r="D86" s="11">
        <v>0</v>
      </c>
    </row>
    <row r="87" spans="1:4">
      <c r="A87" s="2">
        <v>86</v>
      </c>
      <c r="B87" s="13" t="s">
        <v>71</v>
      </c>
      <c r="C87" s="11">
        <v>0</v>
      </c>
      <c r="D87" s="11">
        <v>0</v>
      </c>
    </row>
    <row r="88" spans="1:4">
      <c r="A88" s="2">
        <v>87</v>
      </c>
      <c r="B88" s="13" t="s">
        <v>72</v>
      </c>
      <c r="C88" s="7">
        <v>7</v>
      </c>
      <c r="D88" s="7">
        <v>333</v>
      </c>
    </row>
    <row r="89" spans="1:4">
      <c r="A89" s="2">
        <v>88</v>
      </c>
      <c r="B89" s="13" t="s">
        <v>73</v>
      </c>
      <c r="C89" s="7">
        <v>22</v>
      </c>
      <c r="D89" s="7">
        <v>323</v>
      </c>
    </row>
    <row r="90" spans="1:4">
      <c r="A90" s="2">
        <v>89</v>
      </c>
      <c r="B90" s="13" t="s">
        <v>74</v>
      </c>
      <c r="C90" s="7">
        <v>131</v>
      </c>
      <c r="D90" s="7">
        <v>389</v>
      </c>
    </row>
    <row r="91" spans="1:4">
      <c r="A91" s="2">
        <v>90</v>
      </c>
      <c r="B91" s="14" t="s">
        <v>75</v>
      </c>
      <c r="C91" s="7">
        <v>193</v>
      </c>
      <c r="D91" s="7">
        <v>276</v>
      </c>
    </row>
    <row r="92" spans="1:4">
      <c r="A92" s="2">
        <v>91</v>
      </c>
      <c r="B92" s="13" t="s">
        <v>76</v>
      </c>
      <c r="C92" s="7">
        <v>32</v>
      </c>
      <c r="D92" s="7">
        <v>315</v>
      </c>
    </row>
    <row r="93" spans="1:4">
      <c r="A93" s="2">
        <v>92</v>
      </c>
      <c r="B93" s="13" t="s">
        <v>77</v>
      </c>
      <c r="C93" s="7">
        <v>46</v>
      </c>
      <c r="D93" s="7">
        <v>291</v>
      </c>
    </row>
    <row r="94" spans="1:4">
      <c r="A94" s="2">
        <v>93</v>
      </c>
      <c r="B94" s="13" t="s">
        <v>78</v>
      </c>
      <c r="C94" s="7">
        <v>79</v>
      </c>
      <c r="D94" s="7">
        <v>334</v>
      </c>
    </row>
    <row r="95" spans="1:4">
      <c r="A95" s="2">
        <v>94</v>
      </c>
      <c r="B95" s="13" t="s">
        <v>79</v>
      </c>
      <c r="C95" s="11">
        <v>130</v>
      </c>
      <c r="D95" s="11">
        <v>318</v>
      </c>
    </row>
    <row r="96" spans="1:4">
      <c r="A96" s="2">
        <v>95</v>
      </c>
      <c r="B96" s="14" t="s">
        <v>80</v>
      </c>
      <c r="C96" s="11">
        <v>155</v>
      </c>
      <c r="D96" s="11">
        <v>240</v>
      </c>
    </row>
    <row r="97" spans="1:4">
      <c r="A97" s="2">
        <v>96</v>
      </c>
      <c r="B97" s="13" t="s">
        <v>81</v>
      </c>
      <c r="C97" s="11">
        <v>126</v>
      </c>
      <c r="D97" s="11">
        <v>223</v>
      </c>
    </row>
    <row r="98" spans="1:4">
      <c r="A98" s="2">
        <v>97</v>
      </c>
      <c r="B98" s="14" t="s">
        <v>82</v>
      </c>
      <c r="C98" s="11">
        <v>105</v>
      </c>
      <c r="D98" s="11">
        <v>312</v>
      </c>
    </row>
    <row r="99" spans="1:4">
      <c r="A99" s="2">
        <v>98</v>
      </c>
      <c r="B99" s="13" t="s">
        <v>83</v>
      </c>
      <c r="C99" s="11">
        <v>129</v>
      </c>
      <c r="D99" s="11">
        <v>168</v>
      </c>
    </row>
  </sheetData>
  <mergeCells count="4">
    <mergeCell ref="J29:K29"/>
    <mergeCell ref="J14:K14"/>
    <mergeCell ref="J44:K44"/>
    <mergeCell ref="J59:K5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Taufan Eka Hidayatullah</cp:lastModifiedBy>
  <dcterms:created xsi:type="dcterms:W3CDTF">2022-09-07T15:55:44Z</dcterms:created>
  <dcterms:modified xsi:type="dcterms:W3CDTF">2022-11-03T07:01:13Z</dcterms:modified>
</cp:coreProperties>
</file>